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4"/>
    <sheet state="visible" name="Task 2" sheetId="2" r:id="rId5"/>
    <sheet state="visible" name="Task 3" sheetId="3" r:id="rId6"/>
  </sheets>
  <definedNames/>
  <calcPr/>
</workbook>
</file>

<file path=xl/sharedStrings.xml><?xml version="1.0" encoding="utf-8"?>
<sst xmlns="http://schemas.openxmlformats.org/spreadsheetml/2006/main" count="65" uniqueCount="39">
  <si>
    <t>S. No</t>
  </si>
  <si>
    <t>Roll No.</t>
  </si>
  <si>
    <t>Name</t>
  </si>
  <si>
    <t>Marks Obtained</t>
  </si>
  <si>
    <t>Total Marks</t>
  </si>
  <si>
    <t>Percentage</t>
  </si>
  <si>
    <t>Pass/Fail</t>
  </si>
  <si>
    <t>23i-0001</t>
  </si>
  <si>
    <t>ASD</t>
  </si>
  <si>
    <t>23i-0002</t>
  </si>
  <si>
    <t>FGH</t>
  </si>
  <si>
    <t>23i-0003</t>
  </si>
  <si>
    <t>JKL</t>
  </si>
  <si>
    <t>23i-0004</t>
  </si>
  <si>
    <t>QWE</t>
  </si>
  <si>
    <t>23i-0005</t>
  </si>
  <si>
    <t>RTY</t>
  </si>
  <si>
    <t>23i-0006</t>
  </si>
  <si>
    <t>UIO</t>
  </si>
  <si>
    <t>23i-0007</t>
  </si>
  <si>
    <t>ZXC</t>
  </si>
  <si>
    <t>23i-0008</t>
  </si>
  <si>
    <t>VBN</t>
  </si>
  <si>
    <t>23i-0009</t>
  </si>
  <si>
    <t>MNG</t>
  </si>
  <si>
    <t>23i-0010</t>
  </si>
  <si>
    <t>SDA</t>
  </si>
  <si>
    <t>Grade</t>
  </si>
  <si>
    <t>Course</t>
  </si>
  <si>
    <t>Section A</t>
  </si>
  <si>
    <t>Section B</t>
  </si>
  <si>
    <t>Section C</t>
  </si>
  <si>
    <t>Classwise Vacancy Status</t>
  </si>
  <si>
    <t>Available Vacancies</t>
  </si>
  <si>
    <t>MS Office</t>
  </si>
  <si>
    <t>C++</t>
  </si>
  <si>
    <t>Java</t>
  </si>
  <si>
    <t>Oracle</t>
  </si>
  <si>
    <t>Flash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</si>
</sst>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34A853"/>
          <bgColor rgb="FF34A85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21.0</v>
      </c>
      <c r="E2" s="1">
        <v>100.0</v>
      </c>
      <c r="F2" s="2" t="str">
        <f t="shared" ref="F2:F11" si="1">(D2/E2)*100&amp;"%"</f>
        <v>21%</v>
      </c>
      <c r="G2" s="2" t="str">
        <f t="shared" ref="G2:G11" si="2">IF(D2&gt;=50, "Pass" , "Fail")</f>
        <v>Fail</v>
      </c>
    </row>
    <row r="3">
      <c r="A3" s="1">
        <v>2.0</v>
      </c>
      <c r="B3" s="1" t="s">
        <v>9</v>
      </c>
      <c r="C3" s="1" t="s">
        <v>10</v>
      </c>
      <c r="D3" s="1">
        <v>32.0</v>
      </c>
      <c r="E3" s="1">
        <v>100.0</v>
      </c>
      <c r="F3" s="2" t="str">
        <f t="shared" si="1"/>
        <v>32%</v>
      </c>
      <c r="G3" s="2" t="str">
        <f t="shared" si="2"/>
        <v>Fail</v>
      </c>
    </row>
    <row r="4">
      <c r="A4" s="1">
        <v>3.0</v>
      </c>
      <c r="B4" s="1" t="s">
        <v>11</v>
      </c>
      <c r="C4" s="1" t="s">
        <v>12</v>
      </c>
      <c r="D4" s="1">
        <v>54.0</v>
      </c>
      <c r="E4" s="1">
        <v>100.0</v>
      </c>
      <c r="F4" s="2" t="str">
        <f t="shared" si="1"/>
        <v>54%</v>
      </c>
      <c r="G4" s="2" t="str">
        <f t="shared" si="2"/>
        <v>Pass</v>
      </c>
    </row>
    <row r="5">
      <c r="A5" s="1">
        <v>4.0</v>
      </c>
      <c r="B5" s="1" t="s">
        <v>13</v>
      </c>
      <c r="C5" s="1" t="s">
        <v>14</v>
      </c>
      <c r="D5" s="1">
        <v>65.0</v>
      </c>
      <c r="E5" s="1">
        <v>100.0</v>
      </c>
      <c r="F5" s="2" t="str">
        <f t="shared" si="1"/>
        <v>65%</v>
      </c>
      <c r="G5" s="2" t="str">
        <f t="shared" si="2"/>
        <v>Pass</v>
      </c>
    </row>
    <row r="6">
      <c r="A6" s="1">
        <v>5.0</v>
      </c>
      <c r="B6" s="1" t="s">
        <v>15</v>
      </c>
      <c r="C6" s="1" t="s">
        <v>16</v>
      </c>
      <c r="D6" s="1">
        <v>70.0</v>
      </c>
      <c r="E6" s="1">
        <v>100.0</v>
      </c>
      <c r="F6" s="2" t="str">
        <f t="shared" si="1"/>
        <v>70%</v>
      </c>
      <c r="G6" s="2" t="str">
        <f t="shared" si="2"/>
        <v>Pass</v>
      </c>
    </row>
    <row r="7">
      <c r="A7" s="1">
        <v>6.0</v>
      </c>
      <c r="B7" s="1" t="s">
        <v>17</v>
      </c>
      <c r="C7" s="1" t="s">
        <v>18</v>
      </c>
      <c r="D7" s="1">
        <v>68.0</v>
      </c>
      <c r="E7" s="1">
        <v>100.0</v>
      </c>
      <c r="F7" s="2" t="str">
        <f t="shared" si="1"/>
        <v>68%</v>
      </c>
      <c r="G7" s="2" t="str">
        <f t="shared" si="2"/>
        <v>Pass</v>
      </c>
    </row>
    <row r="8">
      <c r="A8" s="1">
        <v>7.0</v>
      </c>
      <c r="B8" s="1" t="s">
        <v>19</v>
      </c>
      <c r="C8" s="1" t="s">
        <v>20</v>
      </c>
      <c r="D8" s="1">
        <v>89.0</v>
      </c>
      <c r="E8" s="1">
        <v>100.0</v>
      </c>
      <c r="F8" s="2" t="str">
        <f t="shared" si="1"/>
        <v>89%</v>
      </c>
      <c r="G8" s="2" t="str">
        <f t="shared" si="2"/>
        <v>Pass</v>
      </c>
    </row>
    <row r="9">
      <c r="A9" s="1">
        <v>8.0</v>
      </c>
      <c r="B9" s="1" t="s">
        <v>21</v>
      </c>
      <c r="C9" s="1" t="s">
        <v>22</v>
      </c>
      <c r="D9" s="1">
        <v>90.0</v>
      </c>
      <c r="E9" s="1">
        <v>100.0</v>
      </c>
      <c r="F9" s="2" t="str">
        <f t="shared" si="1"/>
        <v>90%</v>
      </c>
      <c r="G9" s="2" t="str">
        <f t="shared" si="2"/>
        <v>Pass</v>
      </c>
    </row>
    <row r="10">
      <c r="A10" s="1">
        <v>9.0</v>
      </c>
      <c r="B10" s="1" t="s">
        <v>23</v>
      </c>
      <c r="C10" s="1" t="s">
        <v>24</v>
      </c>
      <c r="D10" s="1">
        <v>50.0</v>
      </c>
      <c r="E10" s="1">
        <v>100.0</v>
      </c>
      <c r="F10" s="2" t="str">
        <f t="shared" si="1"/>
        <v>50%</v>
      </c>
      <c r="G10" s="2" t="str">
        <f t="shared" si="2"/>
        <v>Pass</v>
      </c>
    </row>
    <row r="11">
      <c r="A11" s="1">
        <v>10.0</v>
      </c>
      <c r="B11" s="1" t="s">
        <v>25</v>
      </c>
      <c r="C11" s="1" t="s">
        <v>26</v>
      </c>
      <c r="D11" s="1">
        <v>12.0</v>
      </c>
      <c r="E11" s="1">
        <v>100.0</v>
      </c>
      <c r="F11" s="2" t="str">
        <f t="shared" si="1"/>
        <v>12%</v>
      </c>
      <c r="G11" s="2" t="str">
        <f t="shared" si="2"/>
        <v>Fail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</row>
    <row r="2">
      <c r="A2" s="1">
        <v>1.0</v>
      </c>
      <c r="B2" s="1" t="s">
        <v>7</v>
      </c>
      <c r="C2" s="1" t="s">
        <v>8</v>
      </c>
      <c r="D2" s="1">
        <v>21.0</v>
      </c>
      <c r="E2" s="1">
        <v>100.0</v>
      </c>
      <c r="F2" s="2" t="str">
        <f t="shared" ref="F2:F11" si="1">(D2/E2)*100&amp;"%"</f>
        <v>21%</v>
      </c>
      <c r="G2" s="2" t="str">
        <f t="shared" ref="G2:G11" si="2">IF(D2&gt;=90, "A", IF(D2&gt;=80, "B", IF(D2&gt;=70, "C", IF(D2&gt;=60, "D", "F"))))</f>
        <v>F</v>
      </c>
    </row>
    <row r="3">
      <c r="A3" s="1">
        <v>2.0</v>
      </c>
      <c r="B3" s="1" t="s">
        <v>9</v>
      </c>
      <c r="C3" s="1" t="s">
        <v>10</v>
      </c>
      <c r="D3" s="1">
        <v>32.0</v>
      </c>
      <c r="E3" s="1">
        <v>100.0</v>
      </c>
      <c r="F3" s="2" t="str">
        <f t="shared" si="1"/>
        <v>32%</v>
      </c>
      <c r="G3" s="2" t="str">
        <f t="shared" si="2"/>
        <v>F</v>
      </c>
    </row>
    <row r="4">
      <c r="A4" s="1">
        <v>3.0</v>
      </c>
      <c r="B4" s="1" t="s">
        <v>11</v>
      </c>
      <c r="C4" s="1" t="s">
        <v>12</v>
      </c>
      <c r="D4" s="1">
        <v>54.0</v>
      </c>
      <c r="E4" s="1">
        <v>100.0</v>
      </c>
      <c r="F4" s="2" t="str">
        <f t="shared" si="1"/>
        <v>54%</v>
      </c>
      <c r="G4" s="2" t="str">
        <f t="shared" si="2"/>
        <v>F</v>
      </c>
    </row>
    <row r="5">
      <c r="A5" s="1">
        <v>4.0</v>
      </c>
      <c r="B5" s="1" t="s">
        <v>13</v>
      </c>
      <c r="C5" s="1" t="s">
        <v>14</v>
      </c>
      <c r="D5" s="1">
        <v>65.0</v>
      </c>
      <c r="E5" s="1">
        <v>100.0</v>
      </c>
      <c r="F5" s="2" t="str">
        <f t="shared" si="1"/>
        <v>65%</v>
      </c>
      <c r="G5" s="2" t="str">
        <f t="shared" si="2"/>
        <v>D</v>
      </c>
    </row>
    <row r="6">
      <c r="A6" s="1">
        <v>5.0</v>
      </c>
      <c r="B6" s="1" t="s">
        <v>15</v>
      </c>
      <c r="C6" s="1" t="s">
        <v>16</v>
      </c>
      <c r="D6" s="1">
        <v>70.0</v>
      </c>
      <c r="E6" s="1">
        <v>100.0</v>
      </c>
      <c r="F6" s="2" t="str">
        <f t="shared" si="1"/>
        <v>70%</v>
      </c>
      <c r="G6" s="2" t="str">
        <f t="shared" si="2"/>
        <v>C</v>
      </c>
    </row>
    <row r="7">
      <c r="A7" s="1">
        <v>6.0</v>
      </c>
      <c r="B7" s="1" t="s">
        <v>17</v>
      </c>
      <c r="C7" s="1" t="s">
        <v>18</v>
      </c>
      <c r="D7" s="1">
        <v>68.0</v>
      </c>
      <c r="E7" s="1">
        <v>100.0</v>
      </c>
      <c r="F7" s="2" t="str">
        <f t="shared" si="1"/>
        <v>68%</v>
      </c>
      <c r="G7" s="2" t="str">
        <f t="shared" si="2"/>
        <v>D</v>
      </c>
    </row>
    <row r="8">
      <c r="A8" s="1">
        <v>7.0</v>
      </c>
      <c r="B8" s="1" t="s">
        <v>19</v>
      </c>
      <c r="C8" s="1" t="s">
        <v>20</v>
      </c>
      <c r="D8" s="1">
        <v>89.0</v>
      </c>
      <c r="E8" s="1">
        <v>100.0</v>
      </c>
      <c r="F8" s="2" t="str">
        <f t="shared" si="1"/>
        <v>89%</v>
      </c>
      <c r="G8" s="2" t="str">
        <f t="shared" si="2"/>
        <v>B</v>
      </c>
    </row>
    <row r="9">
      <c r="A9" s="1">
        <v>8.0</v>
      </c>
      <c r="B9" s="1" t="s">
        <v>21</v>
      </c>
      <c r="C9" s="1" t="s">
        <v>22</v>
      </c>
      <c r="D9" s="1">
        <v>90.0</v>
      </c>
      <c r="E9" s="1">
        <v>100.0</v>
      </c>
      <c r="F9" s="2" t="str">
        <f t="shared" si="1"/>
        <v>90%</v>
      </c>
      <c r="G9" s="2" t="str">
        <f t="shared" si="2"/>
        <v>A</v>
      </c>
    </row>
    <row r="10">
      <c r="A10" s="1">
        <v>9.0</v>
      </c>
      <c r="B10" s="1" t="s">
        <v>23</v>
      </c>
      <c r="C10" s="1" t="s">
        <v>24</v>
      </c>
      <c r="D10" s="1">
        <v>50.0</v>
      </c>
      <c r="E10" s="1">
        <v>100.0</v>
      </c>
      <c r="F10" s="2" t="str">
        <f t="shared" si="1"/>
        <v>50%</v>
      </c>
      <c r="G10" s="2" t="str">
        <f t="shared" si="2"/>
        <v>F</v>
      </c>
    </row>
    <row r="11">
      <c r="A11" s="1">
        <v>10.0</v>
      </c>
      <c r="B11" s="1" t="s">
        <v>25</v>
      </c>
      <c r="C11" s="1" t="s">
        <v>26</v>
      </c>
      <c r="D11" s="1">
        <v>12.0</v>
      </c>
      <c r="E11" s="1">
        <v>100.0</v>
      </c>
      <c r="F11" s="2" t="str">
        <f t="shared" si="1"/>
        <v>12%</v>
      </c>
      <c r="G11" s="2" t="str">
        <f t="shared" si="2"/>
        <v>F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6" max="6" width="15.88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1" t="s">
        <v>34</v>
      </c>
      <c r="B2" s="1">
        <v>30.0</v>
      </c>
      <c r="C2" s="1">
        <v>12.0</v>
      </c>
      <c r="D2" s="1">
        <v>23.0</v>
      </c>
      <c r="E2" s="2" t="str">
        <f>IF(B2 + C2 + D2 &lt; 105, "VACANCY AVAILABLE" , IF(B2 + C2 + D2 = 105 , "NO VACANCY" , "OVERCROWDED"))</f>
        <v>VACANCY AVAILABLE</v>
      </c>
      <c r="F2" s="2">
        <f t="shared" ref="F2:F6" si="1">105 - SUM(B2, D2)</f>
        <v>52</v>
      </c>
    </row>
    <row r="3">
      <c r="A3" s="1" t="s">
        <v>35</v>
      </c>
      <c r="B3" s="1">
        <v>20.0</v>
      </c>
      <c r="C3" s="1">
        <v>34.0</v>
      </c>
      <c r="D3" s="1">
        <v>19.0</v>
      </c>
      <c r="E3" s="2" t="str">
        <f t="shared" ref="E3:E6" si="2">IF(B2 + C2 + D2 &lt; 105, "VACANCY AVAILABLE" , IF(B2 + C2 + D2 = 105 , "NO VACANCY" , "OVERCROWDED"))</f>
        <v>VACANCY AVAILABLE</v>
      </c>
      <c r="F3" s="2">
        <f t="shared" si="1"/>
        <v>66</v>
      </c>
    </row>
    <row r="4">
      <c r="A4" s="1" t="s">
        <v>36</v>
      </c>
      <c r="B4" s="1">
        <v>13.0</v>
      </c>
      <c r="C4" s="1">
        <v>76.0</v>
      </c>
      <c r="D4" s="1">
        <v>23.0</v>
      </c>
      <c r="E4" s="2" t="str">
        <f t="shared" si="2"/>
        <v>VACANCY AVAILABLE</v>
      </c>
      <c r="F4" s="2">
        <f t="shared" si="1"/>
        <v>69</v>
      </c>
    </row>
    <row r="5">
      <c r="A5" s="1" t="s">
        <v>37</v>
      </c>
      <c r="B5" s="1">
        <v>16.0</v>
      </c>
      <c r="C5" s="1">
        <v>20.0</v>
      </c>
      <c r="D5" s="1">
        <v>12.0</v>
      </c>
      <c r="E5" s="2" t="str">
        <f t="shared" si="2"/>
        <v>OVERCROWDED</v>
      </c>
      <c r="F5" s="2">
        <f t="shared" si="1"/>
        <v>77</v>
      </c>
    </row>
    <row r="6">
      <c r="A6" s="1" t="s">
        <v>38</v>
      </c>
      <c r="B6" s="1">
        <v>45.0</v>
      </c>
      <c r="C6" s="1">
        <v>30.0</v>
      </c>
      <c r="D6" s="1">
        <v>34.0</v>
      </c>
      <c r="E6" s="2" t="str">
        <f t="shared" si="2"/>
        <v>VACANCY AVAILABLE</v>
      </c>
      <c r="F6" s="2">
        <f t="shared" si="1"/>
        <v>26</v>
      </c>
    </row>
  </sheetData>
  <conditionalFormatting sqref="F2:F1000">
    <cfRule type="cellIs" dxfId="0" priority="1" operator="greaterThan">
      <formula>50</formula>
    </cfRule>
  </conditionalFormatting>
  <drawing r:id="rId1"/>
</worksheet>
</file>